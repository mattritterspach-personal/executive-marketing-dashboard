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OKRs" sheetId="1" state="visible" r:id="rId3"/>
    <sheet name="Monthly KPIs" sheetId="2" state="visible" r:id="rId4"/>
    <sheet name="Channel Scorecard" sheetId="3" state="visible" r:id="rId5"/>
    <sheet name="Board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<sst xmlns="http://schemas.openxmlformats.org/spreadsheetml/2006/main" count="132" uniqueCount="97">
  <si>
    <t xml:space="preserve">ANNUAL OKRs &amp; KEY RESULTS</t>
  </si>
  <si>
    <t xml:space="preserve">Objective / Key Result</t>
  </si>
  <si>
    <t xml:space="preserve">Target</t>
  </si>
  <si>
    <t xml:space="preserve">Q1 Actual</t>
  </si>
  <si>
    <t xml:space="preserve">Q2 Actual</t>
  </si>
  <si>
    <t xml:space="preserve">Q3 Actual</t>
  </si>
  <si>
    <t xml:space="preserve">Q4 Actual</t>
  </si>
  <si>
    <t xml:space="preserve">% Complete</t>
  </si>
  <si>
    <t xml:space="preserve">OBJ 1: Accelerate Top-of-Funnel Demand</t>
  </si>
  <si>
    <t xml:space="preserve">  KR1: Generate 3,600 MQLs (900/quarter)</t>
  </si>
  <si>
    <t xml:space="preserve">-</t>
  </si>
  <si>
    <t xml:space="preserve">  KR2: Achieve MQL → SQL rate of 42%</t>
  </si>
  <si>
    <t xml:space="preserve">  KR3: Source $12M in mktg-attributed pipeline</t>
  </si>
  <si>
    <t xml:space="preserve">OBJ 2: Drive Revenue Contribution</t>
  </si>
  <si>
    <t xml:space="preserve">  KR1: Marketing-sourced revenue ≥ $3.5M</t>
  </si>
  <si>
    <t xml:space="preserve">  KR2: Marketing-influenced ≥ 45% of new ARR</t>
  </si>
  <si>
    <t xml:space="preserve">  KR3: Mktg-sourced pipeline to revenue ≥ 28%</t>
  </si>
  <si>
    <t xml:space="preserve">OBJ 3: Improve Marketing Efficiency</t>
  </si>
  <si>
    <t xml:space="preserve">  KR1: Reduce blended CAC to &lt; $2,200</t>
  </si>
  <si>
    <t xml:space="preserve">  KR2: Marketing efficiency ratio ≥ 5.5×</t>
  </si>
  <si>
    <t xml:space="preserve">  KR3: Organic traffic share ≥ 60%</t>
  </si>
  <si>
    <t xml:space="preserve">OBJ 4: Build Brand Authority</t>
  </si>
  <si>
    <t xml:space="preserve">  KR1: Grow website sessions to 300K/year</t>
  </si>
  <si>
    <t xml:space="preserve">  KR2: Publish 48 pieces of content (4/mo)</t>
  </si>
  <si>
    <t xml:space="preserve">  KR3: Achieve NPS ≥ 55 in customer survey</t>
  </si>
  <si>
    <t xml:space="preserve">MONTHLY KPI TRACKER — ROLLING 12 MONTHS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</si>
  <si>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</si>
  <si>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</si>
  <si>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</si>
  <si>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</si>
  <si>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</si>
  <si>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</si>
  <si>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</si>
  <si>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</si>
  <si>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</si>
  <si>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</si>
  <si>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</si>
  <si>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</si>
  <si>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</si>
  <si>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DEMAND GENERATION</t>
  </si>
  <si>
    <t xml:space="preserve">MQLs</t>
  </si>
  <si>
    <t xml:space="preserve">SQLs</t>
  </si>
  <si>
    <t xml:space="preserve">MQL → SQL Rate</t>
  </si>
  <si>
    <t xml:space="preserve">Cost per MQL ($)</t>
  </si>
  <si>
    <t xml:space="preserve">Cost per SQL ($)</t>
  </si>
  <si>
    <t xml:space="preserve">Pipeline Sourced</t>
  </si>
  <si>
    <t xml:space="preserve">REVENUE</t>
  </si>
  <si>
    <t xml:space="preserve">Mktg-Sourced Rev</t>
  </si>
  <si>
    <t xml:space="preserve">Mktg-Influenced Rev</t>
  </si>
  <si>
    <t xml:space="preserve">Mktg % of New Rev</t>
  </si>
  <si>
    <t xml:space="preserve">EFFICIENCY</t>
  </si>
  <si>
    <t xml:space="preserve">Blended CAC ($)</t>
  </si>
  <si>
    <t xml:space="preserve">Efficiency Ratio</t>
  </si>
  <si>
    <t xml:space="preserve">Pipeline/$1 Spent</t>
  </si>
  <si>
    <t xml:space="preserve">WEB &amp; BRAND</t>
  </si>
  <si>
    <t xml:space="preserve">Website Sessions</t>
  </si>
  <si>
    <t xml:space="preserve">Organic Sessions</t>
  </si>
  <si>
    <t xml:space="preserve">Organic %</t>
  </si>
  <si>
    <t xml:space="preserve">New Customers</t>
  </si>
  <si>
    <t xml:space="preserve">CHANNEL PERFORMANCE SCORECARD — YTD</t>
  </si>
  <si>
    <t xml:space="preserve">Channel</t>
  </si>
  <si>
    <t xml:space="preserve">S&amp;M Spend</t>
  </si>
  <si>
    <t xml:space="preserve">Cost/MQL</t>
  </si>
  <si>
    <t xml:space="preserve">Win Rate</t>
  </si>
  <si>
    <t xml:space="preserve">Revenue</t>
  </si>
  <si>
    <t xml:space="preserve">CAC</t>
  </si>
  <si>
    <t xml:space="preserve">ROI</t>
  </si>
  <si>
    <t xml:space="preserve">Organic Search</t>
  </si>
  <si>
    <t xml:space="preserve">Paid Search</t>
  </si>
  <si>
    <t xml:space="preserve">Content/SEO</t>
  </si>
  <si>
    <t xml:space="preserve">Social / LinkedIn</t>
  </si>
  <si>
    <t xml:space="preserve">Email / Nurture</t>
  </si>
  <si>
    <t xml:space="preserve">Referral</t>
  </si>
  <si>
    <t xml:space="preserve">Outbound SDR</t>
  </si>
  <si>
    <t xml:space="preserve">Events</t>
  </si>
  <si>
    <t xml:space="preserve">TOTAL</t>
  </si>
  <si>
    <t xml:space="preserve">BOARD MARKETING REPORT — Q3 2024</t>
  </si>
  <si>
    <t xml:space="preserve">Prepared by: VP Marketing  |  Date: October 2024  |  Confidential</t>
  </si>
  <si>
    <t xml:space="preserve">KEY PERFORMANCE INDICATORS</t>
  </si>
  <si>
    <t xml:space="preserve">Q3 Target</t>
  </si>
  <si>
    <t xml:space="preserve">vs. Target</t>
  </si>
  <si>
    <t xml:space="preserve">MQLs Generated</t>
  </si>
  <si>
    <t xml:space="preserve">MQL → SQL Conversion</t>
  </si>
  <si>
    <t xml:space="preserve">Marketing-Sourced Revenue</t>
  </si>
  <si>
    <t xml:space="preserve">Marketing % of New ARR</t>
  </si>
  <si>
    <t xml:space="preserve">Blended CAC</t>
  </si>
  <si>
    <t xml:space="preserve">Marketing Efficiency Ratio</t>
  </si>
  <si>
    <t xml:space="preserve">HIGHLIGHTS</t>
  </si>
  <si>
    <t xml:space="preserve">• Pipeline sourced exceeded target by $50K (+4%) driven by Outbound SDR program</t>
  </si>
  <si>
    <t xml:space="preserve">• Marketing-sourced revenue $880K (+5% vs target) — strongest quarter YTD</t>
  </si>
  <si>
    <t xml:space="preserve">• CAC elevated at $2,380 vs $2,200 target — driven by LinkedIn CPM increases; action plan in progress</t>
  </si>
  <si>
    <t xml:space="preserve">• Organic traffic share reached 61% — SEO content program showing compounding returns</t>
  </si>
  <si>
    <t xml:space="preserve">Q4 PRIORITIES</t>
  </si>
  <si>
    <t xml:space="preserve">1. Scale Outbound SDR program: +3 SDRs, target 420 MQLs vs 325 in Q3</t>
  </si>
  <si>
    <t xml:space="preserve">2. Launch ABM campaign for top 50 target accounts — goal: 15 SAOs</t>
  </si>
  <si>
    <t xml:space="preserve">3. Reduce CAC by 8% via paid search optimization and improved lead scoring</t>
  </si>
  <si>
    <t xml:space="preserve">4. Publish Q4 content series: 12 posts, 2 webinars, 1 analyst report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</si>
</sst>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D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AAAAA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4A5568"/>
        <bgColor rgb="FF333399"/>
      </patternFill>
    </fill>
    <fill>
      <patternFill patternType="solid">
        <fgColor rgb="FFEBF5FB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9F9F9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1.75" hidden="false" customHeight="true" outlineLevel="0" collapsed="false">
      <c r="A4" s="3" t="s">
        <v>8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9</v>
      </c>
      <c r="B5" s="5" t="n">
        <v>3600</v>
      </c>
      <c r="C5" s="5" t="n">
        <v>820</v>
      </c>
      <c r="D5" s="5" t="n">
        <v>910</v>
      </c>
      <c r="E5" s="5" t="n">
        <v>870</v>
      </c>
      <c r="F5" s="6" t="s">
        <v>10</v>
      </c>
      <c r="G5" s="7" t="str">
        <f aca="false">IFERROR(AVERAGE(IF((C5:F5&lt;&gt;0)*(C5:F5&lt;&gt;"-"),C5:F5))/B5,"-")</f>
        <v>-</v>
      </c>
    </row>
    <row r="6" customFormat="false" ht="19.5" hidden="false" customHeight="true" outlineLevel="0" collapsed="false">
      <c r="A6" s="4" t="s">
        <v>11</v>
      </c>
      <c r="B6" s="8" t="n">
        <v>0.42</v>
      </c>
      <c r="C6" s="8" t="n">
        <v>0.38</v>
      </c>
      <c r="D6" s="8" t="n">
        <v>0.4</v>
      </c>
      <c r="E6" s="8" t="n">
        <v>0.41</v>
      </c>
      <c r="F6" s="6" t="s">
        <v>10</v>
      </c>
      <c r="G6" s="7" t="str">
        <f aca="false">IFERROR(AVERAGE(IF((C6:F6&lt;&gt;0)*(C6:F6&lt;&gt;"-"),C6:F6))/B6,"-")</f>
        <v>-</v>
      </c>
    </row>
    <row r="7" customFormat="false" ht="19.5" hidden="false" customHeight="true" outlineLevel="0" collapsed="false">
      <c r="A7" s="4" t="s">
        <v>12</v>
      </c>
      <c r="B7" s="9" t="n">
        <v>12000000</v>
      </c>
      <c r="C7" s="9" t="n">
        <v>2900000</v>
      </c>
      <c r="D7" s="9" t="n">
        <v>3100000</v>
      </c>
      <c r="E7" s="9" t="n">
        <v>3200000</v>
      </c>
      <c r="F7" s="6" t="s">
        <v>10</v>
      </c>
      <c r="G7" s="7" t="str">
        <f aca="false">IFERROR(AVERAGE(IF((C7:F7&lt;&gt;0)*(C7:F7&lt;&gt;"-"),C7:F7))/B7,"-")</f>
        <v>-</v>
      </c>
    </row>
    <row r="8" customFormat="false" ht="21.75" hidden="false" customHeight="true" outlineLevel="0" collapsed="false">
      <c r="A8" s="3" t="s">
        <v>13</v>
      </c>
      <c r="B8" s="3"/>
      <c r="C8" s="3"/>
      <c r="D8" s="3"/>
      <c r="E8" s="3"/>
      <c r="F8" s="3"/>
      <c r="G8" s="3"/>
    </row>
    <row r="9" customFormat="false" ht="19.5" hidden="false" customHeight="true" outlineLevel="0" collapsed="false">
      <c r="A9" s="4" t="s">
        <v>14</v>
      </c>
      <c r="B9" s="9" t="n">
        <v>3500000</v>
      </c>
      <c r="C9" s="9" t="n">
        <v>820000</v>
      </c>
      <c r="D9" s="9" t="n">
        <v>950000</v>
      </c>
      <c r="E9" s="9" t="n">
        <v>1050000</v>
      </c>
      <c r="F9" s="6" t="s">
        <v>10</v>
      </c>
      <c r="G9" s="7" t="str">
        <f aca="false">IFERROR(AVERAGE(IF((C9:F9&lt;&gt;0)*(C9:F9&lt;&gt;"-"),C9:F9))/B9,"-")</f>
        <v>-</v>
      </c>
    </row>
    <row r="10" customFormat="false" ht="19.5" hidden="false" customHeight="true" outlineLevel="0" collapsed="false">
      <c r="A10" s="4" t="s">
        <v>15</v>
      </c>
      <c r="B10" s="8" t="n">
        <v>0.45</v>
      </c>
      <c r="C10" s="8" t="n">
        <v>0.4</v>
      </c>
      <c r="D10" s="8" t="n">
        <v>0.42</v>
      </c>
      <c r="E10" s="8" t="n">
        <v>0.44</v>
      </c>
      <c r="F10" s="6" t="s">
        <v>10</v>
      </c>
      <c r="G10" s="7" t="str">
        <f aca="false">IFERROR(AVERAGE(IF((C10:F10&lt;&gt;0)*(C10:F10&lt;&gt;"-"),C10:F10))/B10,"-")</f>
        <v>-</v>
      </c>
    </row>
    <row r="11" customFormat="false" ht="19.5" hidden="false" customHeight="true" outlineLevel="0" collapsed="false">
      <c r="A11" s="4" t="s">
        <v>16</v>
      </c>
      <c r="B11" s="8" t="n">
        <v>0.28</v>
      </c>
      <c r="C11" s="8" t="n">
        <v>0.24</v>
      </c>
      <c r="D11" s="8" t="n">
        <v>0.26</v>
      </c>
      <c r="E11" s="8" t="n">
        <v>0.27</v>
      </c>
      <c r="F11" s="6" t="s">
        <v>10</v>
      </c>
      <c r="G11" s="7" t="str">
        <f aca="false">IFERROR(AVERAGE(IF((C11:F11&lt;&gt;0)*(C11:F11&lt;&gt;"-"),C11:F11))/B11,"-")</f>
        <v>-</v>
      </c>
    </row>
    <row r="12" customFormat="false" ht="21.75" hidden="false" customHeight="true" outlineLevel="0" collapsed="false">
      <c r="A12" s="3" t="s">
        <v>17</v>
      </c>
      <c r="B12" s="3"/>
      <c r="C12" s="3"/>
      <c r="D12" s="3"/>
      <c r="E12" s="3"/>
      <c r="F12" s="3"/>
      <c r="G12" s="3"/>
    </row>
    <row r="13" customFormat="false" ht="19.5" hidden="false" customHeight="true" outlineLevel="0" collapsed="false">
      <c r="A13" s="4" t="s">
        <v>18</v>
      </c>
      <c r="B13" s="9" t="n">
        <v>2200</v>
      </c>
      <c r="C13" s="9" t="n">
        <v>2600</v>
      </c>
      <c r="D13" s="9" t="n">
        <v>2450</v>
      </c>
      <c r="E13" s="9" t="n">
        <v>2350</v>
      </c>
      <c r="F13" s="6" t="s">
        <v>10</v>
      </c>
      <c r="G13" s="7" t="str">
        <f aca="false">IFERROR(AVERAGE(IF((C13:F13&lt;&gt;0)*(C13:F13&lt;&gt;"-"),C13:F13))/B13,"-")</f>
        <v>-</v>
      </c>
    </row>
    <row r="14" customFormat="false" ht="19.5" hidden="false" customHeight="true" outlineLevel="0" collapsed="false">
      <c r="A14" s="4" t="s">
        <v>19</v>
      </c>
      <c r="B14" s="10" t="n">
        <v>5.5</v>
      </c>
      <c r="C14" s="10" t="n">
        <v>4.8</v>
      </c>
      <c r="D14" s="10" t="n">
        <v>5.1</v>
      </c>
      <c r="E14" s="10" t="n">
        <v>5.3</v>
      </c>
      <c r="F14" s="6" t="s">
        <v>10</v>
      </c>
      <c r="G14" s="7" t="str">
        <f aca="false">IFERROR(AVERAGE(IF((C14:F14&lt;&gt;0)*(C14:F14&lt;&gt;"-"),C14:F14))/B14,"-")</f>
        <v>-</v>
      </c>
    </row>
    <row r="15" customFormat="false" ht="19.5" hidden="false" customHeight="true" outlineLevel="0" collapsed="false">
      <c r="A15" s="4" t="s">
        <v>20</v>
      </c>
      <c r="B15" s="8" t="n">
        <v>0.6</v>
      </c>
      <c r="C15" s="8" t="n">
        <v>0.54</v>
      </c>
      <c r="D15" s="8" t="n">
        <v>0.56</v>
      </c>
      <c r="E15" s="8" t="n">
        <v>0.58</v>
      </c>
      <c r="F15" s="6" t="s">
        <v>10</v>
      </c>
      <c r="G15" s="7" t="str">
        <f aca="false">IFERROR(AVERAGE(IF((C15:F15&lt;&gt;0)*(C15:F15&lt;&gt;"-"),C15:F15))/B15,"-")</f>
        <v>-</v>
      </c>
    </row>
    <row r="16" customFormat="false" ht="21.75" hidden="false" customHeight="true" outlineLevel="0" collapsed="false">
      <c r="A16" s="3" t="s">
        <v>21</v>
      </c>
      <c r="B16" s="3"/>
      <c r="C16" s="3"/>
      <c r="D16" s="3"/>
      <c r="E16" s="3"/>
      <c r="F16" s="3"/>
      <c r="G16" s="3"/>
    </row>
    <row r="17" customFormat="false" ht="19.5" hidden="false" customHeight="true" outlineLevel="0" collapsed="false">
      <c r="A17" s="4" t="s">
        <v>22</v>
      </c>
      <c r="B17" s="5" t="n">
        <v>300000</v>
      </c>
      <c r="C17" s="5" t="n">
        <v>68000</v>
      </c>
      <c r="D17" s="5" t="n">
        <v>72000</v>
      </c>
      <c r="E17" s="5" t="n">
        <v>75000</v>
      </c>
      <c r="F17" s="6" t="s">
        <v>10</v>
      </c>
      <c r="G17" s="7" t="str">
        <f aca="false">IFERROR(AVERAGE(IF((C17:F17&lt;&gt;0)*(C17:F17&lt;&gt;"-"),C17:F17))/B17,"-")</f>
        <v>-</v>
      </c>
    </row>
    <row r="18" customFormat="false" ht="19.5" hidden="false" customHeight="true" outlineLevel="0" collapsed="false">
      <c r="A18" s="4" t="s">
        <v>23</v>
      </c>
      <c r="B18" s="5" t="n">
        <v>48</v>
      </c>
      <c r="C18" s="5" t="n">
        <v>11</v>
      </c>
      <c r="D18" s="5" t="n">
        <v>12</v>
      </c>
      <c r="E18" s="5" t="n">
        <v>13</v>
      </c>
      <c r="F18" s="6" t="s">
        <v>10</v>
      </c>
      <c r="G18" s="7" t="str">
        <f aca="false">IFERROR(AVERAGE(IF((C18:F18&lt;&gt;0)*(C18:F18&lt;&gt;"-"),C18:F18))/B18,"-")</f>
        <v>-</v>
      </c>
    </row>
    <row r="19" customFormat="false" ht="19.5" hidden="false" customHeight="true" outlineLevel="0" collapsed="false">
      <c r="A19" s="4" t="s">
        <v>24</v>
      </c>
      <c r="B19" s="5" t="n">
        <v>55</v>
      </c>
      <c r="C19" s="5" t="n">
        <v>52</v>
      </c>
      <c r="D19" s="5" t="n">
        <v>54</v>
      </c>
      <c r="E19" s="5" t="n">
        <v>55</v>
      </c>
      <c r="F19" s="6" t="s">
        <v>10</v>
      </c>
      <c r="G19" s="7" t="str">
        <f aca="false">IFERROR(AVERAGE(IF((C19:F19&lt;&gt;0)*(C19:F19&lt;&gt;"-"),C19:F19))/B19,"-")</f>
        <v>-</v>
      </c>
    </row>
  </sheetData>
  <mergeCells count="5">
    <mergeCell ref="A1:H1"/>
    <mergeCell ref="A4:G4"/>
    <mergeCell ref="A8:G8"/>
    <mergeCell ref="A12:G1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15" min="3" style="0" width="10"/>
  </cols>
  <sheetData>
    <row r="1" customFormat="false" ht="27.75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26</v>
      </c>
      <c r="B3" s="2" t="s">
        <v>2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customFormat="false" ht="19.5" hidden="false" customHeight="true" outlineLevel="0" collapsed="false">
      <c r="A4" s="3" t="s">
        <v>39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11" t="s">
        <v>40</v>
      </c>
      <c r="B5" s="5" t="n">
        <v>300</v>
      </c>
      <c r="C5" s="5" t="n">
        <v>240</v>
      </c>
      <c r="D5" s="5" t="n">
        <v>265</v>
      </c>
      <c r="E5" s="5" t="n">
        <v>280</v>
      </c>
      <c r="F5" s="5" t="n">
        <v>290</v>
      </c>
      <c r="G5" s="5" t="n">
        <v>300</v>
      </c>
      <c r="H5" s="5" t="n">
        <v>310</v>
      </c>
      <c r="I5" s="5" t="n">
        <v>305</v>
      </c>
      <c r="J5" s="5" t="n">
        <v>320</v>
      </c>
      <c r="K5" s="5" t="n">
        <v>325</v>
      </c>
      <c r="L5" s="5" t="n">
        <v>315</v>
      </c>
      <c r="M5" s="5" t="n">
        <v>330</v>
      </c>
      <c r="N5" s="6" t="s">
        <v>10</v>
      </c>
    </row>
    <row r="6" customFormat="false" ht="15" hidden="false" customHeight="false" outlineLevel="0" collapsed="false">
      <c r="A6" s="11" t="s">
        <v>41</v>
      </c>
      <c r="B6" s="5" t="n">
        <v>115</v>
      </c>
      <c r="C6" s="5" t="n">
        <v>88</v>
      </c>
      <c r="D6" s="5" t="n">
        <v>99</v>
      </c>
      <c r="E6" s="5" t="n">
        <v>105</v>
      </c>
      <c r="F6" s="5" t="n">
        <v>108</v>
      </c>
      <c r="G6" s="5" t="n">
        <v>112</v>
      </c>
      <c r="H6" s="5" t="n">
        <v>118</v>
      </c>
      <c r="I6" s="5" t="n">
        <v>115</v>
      </c>
      <c r="J6" s="5" t="n">
        <v>122</v>
      </c>
      <c r="K6" s="5" t="n">
        <v>125</v>
      </c>
      <c r="L6" s="5" t="n">
        <v>118</v>
      </c>
      <c r="M6" s="5" t="n">
        <v>128</v>
      </c>
      <c r="N6" s="6" t="s">
        <v>10</v>
      </c>
    </row>
    <row r="7" customFormat="false" ht="15" hidden="false" customHeight="false" outlineLevel="0" collapsed="false">
      <c r="A7" s="11" t="s">
        <v>42</v>
      </c>
      <c r="B7" s="8" t="n">
        <v>0.42</v>
      </c>
      <c r="C7" s="8" t="n">
        <v>0.37</v>
      </c>
      <c r="D7" s="8" t="n">
        <v>0.37</v>
      </c>
      <c r="E7" s="8" t="n">
        <v>0.375</v>
      </c>
      <c r="F7" s="8" t="n">
        <v>0.372</v>
      </c>
      <c r="G7" s="8" t="n">
        <v>0.373</v>
      </c>
      <c r="H7" s="8" t="n">
        <v>0.381</v>
      </c>
      <c r="I7" s="8" t="n">
        <v>0.377</v>
      </c>
      <c r="J7" s="8" t="n">
        <v>0.381</v>
      </c>
      <c r="K7" s="8" t="n">
        <v>0.385</v>
      </c>
      <c r="L7" s="8" t="n">
        <v>0.375</v>
      </c>
      <c r="M7" s="8" t="n">
        <v>0.388</v>
      </c>
      <c r="N7" s="6" t="s">
        <v>10</v>
      </c>
    </row>
    <row r="8" customFormat="false" ht="15" hidden="false" customHeight="false" outlineLevel="0" collapsed="false">
      <c r="A8" s="11" t="s">
        <v>43</v>
      </c>
      <c r="B8" s="9" t="n">
        <v>290</v>
      </c>
      <c r="C8" s="9" t="n">
        <v>340</v>
      </c>
      <c r="D8" s="9" t="n">
        <v>325</v>
      </c>
      <c r="E8" s="9" t="n">
        <v>318</v>
      </c>
      <c r="F8" s="9" t="n">
        <v>310</v>
      </c>
      <c r="G8" s="9" t="n">
        <v>305</v>
      </c>
      <c r="H8" s="9" t="n">
        <v>300</v>
      </c>
      <c r="I8" s="9" t="n">
        <v>295</v>
      </c>
      <c r="J8" s="9" t="n">
        <v>290</v>
      </c>
      <c r="K8" s="9" t="n">
        <v>288</v>
      </c>
      <c r="L8" s="9" t="n">
        <v>292</v>
      </c>
      <c r="M8" s="9" t="n">
        <v>285</v>
      </c>
      <c r="N8" s="6" t="s">
        <v>10</v>
      </c>
    </row>
    <row r="9" customFormat="false" ht="15" hidden="false" customHeight="false" outlineLevel="0" collapsed="false">
      <c r="A9" s="11" t="s">
        <v>44</v>
      </c>
      <c r="B9" s="9" t="n">
        <v>760</v>
      </c>
      <c r="C9" s="9" t="n">
        <v>870</v>
      </c>
      <c r="D9" s="9" t="n">
        <v>840</v>
      </c>
      <c r="E9" s="9" t="n">
        <v>818</v>
      </c>
      <c r="F9" s="9" t="n">
        <v>800</v>
      </c>
      <c r="G9" s="9" t="n">
        <v>780</v>
      </c>
      <c r="H9" s="9" t="n">
        <v>768</v>
      </c>
      <c r="I9" s="9" t="n">
        <v>755</v>
      </c>
      <c r="J9" s="9" t="n">
        <v>748</v>
      </c>
      <c r="K9" s="9" t="n">
        <v>740</v>
      </c>
      <c r="L9" s="9" t="n">
        <v>760</v>
      </c>
      <c r="M9" s="9" t="n">
        <v>732</v>
      </c>
      <c r="N9" s="6" t="s">
        <v>10</v>
      </c>
    </row>
    <row r="10" customFormat="false" ht="15" hidden="false" customHeight="false" outlineLevel="0" collapsed="false">
      <c r="A10" s="11" t="s">
        <v>45</v>
      </c>
      <c r="B10" s="9" t="n">
        <v>400000</v>
      </c>
      <c r="C10" s="9" t="n">
        <v>310000</v>
      </c>
      <c r="D10" s="9" t="n">
        <v>340000</v>
      </c>
      <c r="E10" s="9" t="n">
        <v>365000</v>
      </c>
      <c r="F10" s="9" t="n">
        <v>380000</v>
      </c>
      <c r="G10" s="9" t="n">
        <v>400000</v>
      </c>
      <c r="H10" s="9" t="n">
        <v>415000</v>
      </c>
      <c r="I10" s="9" t="n">
        <v>395000</v>
      </c>
      <c r="J10" s="9" t="n">
        <v>420000</v>
      </c>
      <c r="K10" s="9" t="n">
        <v>430000</v>
      </c>
      <c r="L10" s="9" t="n">
        <v>410000</v>
      </c>
      <c r="M10" s="9" t="n">
        <v>440000</v>
      </c>
      <c r="N10" s="6" t="s">
        <v>10</v>
      </c>
    </row>
    <row r="11" customFormat="false" ht="19.5" hidden="false" customHeight="true" outlineLevel="0" collapsed="false">
      <c r="A11" s="3" t="s">
        <v>46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11" t="s">
        <v>47</v>
      </c>
      <c r="B12" s="9" t="n">
        <v>280000</v>
      </c>
      <c r="C12" s="9" t="n">
        <v>210000</v>
      </c>
      <c r="D12" s="9" t="n">
        <v>230000</v>
      </c>
      <c r="E12" s="9" t="n">
        <v>245000</v>
      </c>
      <c r="F12" s="9" t="n">
        <v>260000</v>
      </c>
      <c r="G12" s="9" t="n">
        <v>270000</v>
      </c>
      <c r="H12" s="9" t="n">
        <v>285000</v>
      </c>
      <c r="I12" s="9" t="n">
        <v>275000</v>
      </c>
      <c r="J12" s="9" t="n">
        <v>290000</v>
      </c>
      <c r="K12" s="9" t="n">
        <v>298000</v>
      </c>
      <c r="L12" s="9" t="n">
        <v>282000</v>
      </c>
      <c r="M12" s="9" t="n">
        <v>305000</v>
      </c>
      <c r="N12" s="6" t="s">
        <v>10</v>
      </c>
    </row>
    <row r="13" customFormat="false" ht="15" hidden="false" customHeight="false" outlineLevel="0" collapsed="false">
      <c r="A13" s="11" t="s">
        <v>48</v>
      </c>
      <c r="B13" s="9" t="n">
        <v>640000</v>
      </c>
      <c r="C13" s="9" t="n">
        <v>520000</v>
      </c>
      <c r="D13" s="9" t="n">
        <v>555000</v>
      </c>
      <c r="E13" s="9" t="n">
        <v>580000</v>
      </c>
      <c r="F13" s="9" t="n">
        <v>600000</v>
      </c>
      <c r="G13" s="9" t="n">
        <v>620000</v>
      </c>
      <c r="H13" s="9" t="n">
        <v>645000</v>
      </c>
      <c r="I13" s="9" t="n">
        <v>635000</v>
      </c>
      <c r="J13" s="9" t="n">
        <v>660000</v>
      </c>
      <c r="K13" s="9" t="n">
        <v>670000</v>
      </c>
      <c r="L13" s="9" t="n">
        <v>648000</v>
      </c>
      <c r="M13" s="9" t="n">
        <v>680000</v>
      </c>
      <c r="N13" s="6" t="s">
        <v>10</v>
      </c>
    </row>
    <row r="14" customFormat="false" ht="15" hidden="false" customHeight="false" outlineLevel="0" collapsed="false">
      <c r="A14" s="11" t="s">
        <v>49</v>
      </c>
      <c r="B14" s="8" t="n">
        <v>0.33</v>
      </c>
      <c r="C14" s="8" t="n">
        <v>0.27</v>
      </c>
      <c r="D14" s="8" t="n">
        <v>0.28</v>
      </c>
      <c r="E14" s="8" t="n">
        <v>0.29</v>
      </c>
      <c r="F14" s="8" t="n">
        <v>0.3</v>
      </c>
      <c r="G14" s="8" t="n">
        <v>0.31</v>
      </c>
      <c r="H14" s="8" t="n">
        <v>0.32</v>
      </c>
      <c r="I14" s="8" t="n">
        <v>0.31</v>
      </c>
      <c r="J14" s="8" t="n">
        <v>0.33</v>
      </c>
      <c r="K14" s="8" t="n">
        <v>0.33</v>
      </c>
      <c r="L14" s="8" t="n">
        <v>0.32</v>
      </c>
      <c r="M14" s="8" t="n">
        <v>0.34</v>
      </c>
      <c r="N14" s="6" t="s">
        <v>10</v>
      </c>
    </row>
    <row r="15" customFormat="false" ht="19.5" hidden="false" customHeight="true" outlineLevel="0" collapsed="false">
      <c r="A15" s="3" t="s">
        <v>50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11" t="s">
        <v>51</v>
      </c>
      <c r="B16" s="9" t="n">
        <v>2200</v>
      </c>
      <c r="C16" s="9" t="n">
        <v>2850</v>
      </c>
      <c r="D16" s="9" t="n">
        <v>2720</v>
      </c>
      <c r="E16" s="9" t="n">
        <v>2650</v>
      </c>
      <c r="F16" s="9" t="n">
        <v>2580</v>
      </c>
      <c r="G16" s="9" t="n">
        <v>2520</v>
      </c>
      <c r="H16" s="9" t="n">
        <v>2480</v>
      </c>
      <c r="I16" s="9" t="n">
        <v>2450</v>
      </c>
      <c r="J16" s="9" t="n">
        <v>2410</v>
      </c>
      <c r="K16" s="9" t="n">
        <v>2380</v>
      </c>
      <c r="L16" s="9" t="n">
        <v>2420</v>
      </c>
      <c r="M16" s="9" t="n">
        <v>2350</v>
      </c>
      <c r="N16" s="6" t="s">
        <v>10</v>
      </c>
    </row>
    <row r="17" customFormat="false" ht="15" hidden="false" customHeight="false" outlineLevel="0" collapsed="false">
      <c r="A17" s="11" t="s">
        <v>52</v>
      </c>
      <c r="B17" s="10" t="n">
        <v>5.5</v>
      </c>
      <c r="C17" s="10" t="n">
        <v>4.5</v>
      </c>
      <c r="D17" s="10" t="n">
        <v>4.7</v>
      </c>
      <c r="E17" s="10" t="n">
        <v>4.9</v>
      </c>
      <c r="F17" s="10" t="n">
        <v>5</v>
      </c>
      <c r="G17" s="10" t="n">
        <v>5.2</v>
      </c>
      <c r="H17" s="10" t="n">
        <v>5.4</v>
      </c>
      <c r="I17" s="10" t="n">
        <v>5.3</v>
      </c>
      <c r="J17" s="10" t="n">
        <v>5.5</v>
      </c>
      <c r="K17" s="10" t="n">
        <v>5.6</v>
      </c>
      <c r="L17" s="10" t="n">
        <v>5.4</v>
      </c>
      <c r="M17" s="10" t="n">
        <v>5.7</v>
      </c>
      <c r="N17" s="6" t="s">
        <v>10</v>
      </c>
    </row>
    <row r="18" customFormat="false" ht="15" hidden="false" customHeight="false" outlineLevel="0" collapsed="false">
      <c r="A18" s="11" t="s">
        <v>53</v>
      </c>
      <c r="B18" s="12" t="n">
        <v>4</v>
      </c>
      <c r="C18" s="12" t="n">
        <v>3.3</v>
      </c>
      <c r="D18" s="12" t="n">
        <v>3.5</v>
      </c>
      <c r="E18" s="12" t="n">
        <v>3.7</v>
      </c>
      <c r="F18" s="12" t="n">
        <v>3.8</v>
      </c>
      <c r="G18" s="12" t="n">
        <v>3.9</v>
      </c>
      <c r="H18" s="12" t="n">
        <v>4.1</v>
      </c>
      <c r="I18" s="12" t="n">
        <v>4</v>
      </c>
      <c r="J18" s="12" t="n">
        <v>4.2</v>
      </c>
      <c r="K18" s="12" t="n">
        <v>4.3</v>
      </c>
      <c r="L18" s="12" t="n">
        <v>4.1</v>
      </c>
      <c r="M18" s="12" t="n">
        <v>4.4</v>
      </c>
      <c r="N18" s="6" t="s">
        <v>10</v>
      </c>
    </row>
    <row r="19" customFormat="false" ht="19.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11" t="s">
        <v>55</v>
      </c>
      <c r="B20" s="5" t="n">
        <v>26000</v>
      </c>
      <c r="C20" s="5" t="n">
        <v>20000</v>
      </c>
      <c r="D20" s="5" t="n">
        <v>21500</v>
      </c>
      <c r="E20" s="5" t="n">
        <v>22000</v>
      </c>
      <c r="F20" s="5" t="n">
        <v>22800</v>
      </c>
      <c r="G20" s="5" t="n">
        <v>23500</v>
      </c>
      <c r="H20" s="5" t="n">
        <v>24200</v>
      </c>
      <c r="I20" s="5" t="n">
        <v>23800</v>
      </c>
      <c r="J20" s="5" t="n">
        <v>24800</v>
      </c>
      <c r="K20" s="5" t="n">
        <v>25200</v>
      </c>
      <c r="L20" s="5" t="n">
        <v>24500</v>
      </c>
      <c r="M20" s="5" t="n">
        <v>25800</v>
      </c>
      <c r="N20" s="6" t="s">
        <v>10</v>
      </c>
    </row>
    <row r="21" customFormat="false" ht="15" hidden="false" customHeight="false" outlineLevel="0" collapsed="false">
      <c r="A21" s="11" t="s">
        <v>56</v>
      </c>
      <c r="B21" s="5" t="n">
        <v>15000</v>
      </c>
      <c r="C21" s="5" t="n">
        <v>12000</v>
      </c>
      <c r="D21" s="5" t="n">
        <v>13000</v>
      </c>
      <c r="E21" s="5" t="n">
        <v>13500</v>
      </c>
      <c r="F21" s="5" t="n">
        <v>13900</v>
      </c>
      <c r="G21" s="5" t="n">
        <v>14200</v>
      </c>
      <c r="H21" s="5" t="n">
        <v>14800</v>
      </c>
      <c r="I21" s="5" t="n">
        <v>14500</v>
      </c>
      <c r="J21" s="5" t="n">
        <v>15100</v>
      </c>
      <c r="K21" s="5" t="n">
        <v>15400</v>
      </c>
      <c r="L21" s="5" t="n">
        <v>14900</v>
      </c>
      <c r="M21" s="5" t="n">
        <v>15600</v>
      </c>
      <c r="N21" s="6" t="s">
        <v>10</v>
      </c>
    </row>
    <row r="22" customFormat="false" ht="15" hidden="false" customHeight="false" outlineLevel="0" collapsed="false">
      <c r="A22" s="11" t="s">
        <v>57</v>
      </c>
      <c r="B22" s="8" t="n">
        <v>0.58</v>
      </c>
      <c r="C22" s="8" t="n">
        <v>0.6</v>
      </c>
      <c r="D22" s="8" t="n">
        <v>0.605</v>
      </c>
      <c r="E22" s="8" t="n">
        <v>0.614</v>
      </c>
      <c r="F22" s="8" t="n">
        <v>0.61</v>
      </c>
      <c r="G22" s="8" t="n">
        <v>0.604</v>
      </c>
      <c r="H22" s="8" t="n">
        <v>0.612</v>
      </c>
      <c r="I22" s="8" t="n">
        <v>0.609</v>
      </c>
      <c r="J22" s="8" t="n">
        <v>0.609</v>
      </c>
      <c r="K22" s="8" t="n">
        <v>0.611</v>
      </c>
      <c r="L22" s="8" t="n">
        <v>0.608</v>
      </c>
      <c r="M22" s="8" t="n">
        <v>0.605</v>
      </c>
      <c r="N22" s="6" t="s">
        <v>10</v>
      </c>
    </row>
    <row r="23" customFormat="false" ht="15" hidden="false" customHeight="false" outlineLevel="0" collapsed="false">
      <c r="A23" s="11" t="s">
        <v>58</v>
      </c>
      <c r="B23" s="5" t="n">
        <v>40</v>
      </c>
      <c r="C23" s="5" t="n">
        <v>30</v>
      </c>
      <c r="D23" s="5" t="n">
        <v>33</v>
      </c>
      <c r="E23" s="5" t="n">
        <v>35</v>
      </c>
      <c r="F23" s="5" t="n">
        <v>36</v>
      </c>
      <c r="G23" s="5" t="n">
        <v>38</v>
      </c>
      <c r="H23" s="5" t="n">
        <v>39</v>
      </c>
      <c r="I23" s="5" t="n">
        <v>38</v>
      </c>
      <c r="J23" s="5" t="n">
        <v>40</v>
      </c>
      <c r="K23" s="5" t="n">
        <v>41</v>
      </c>
      <c r="L23" s="5" t="n">
        <v>39</v>
      </c>
      <c r="M23" s="5" t="n">
        <v>42</v>
      </c>
      <c r="N23" s="6" t="s">
        <v>10</v>
      </c>
    </row>
  </sheetData>
  <mergeCells count="5">
    <mergeCell ref="A1:N1"/>
    <mergeCell ref="A4:N4"/>
    <mergeCell ref="A11:N11"/>
    <mergeCell ref="A15:N15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6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60</v>
      </c>
      <c r="B3" s="2" t="s">
        <v>61</v>
      </c>
      <c r="C3" s="2" t="s">
        <v>40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</row>
    <row r="4" customFormat="false" ht="15" hidden="false" customHeight="false" outlineLevel="0" collapsed="false">
      <c r="A4" s="13" t="s">
        <v>67</v>
      </c>
      <c r="B4" s="9" t="n">
        <v>12000</v>
      </c>
      <c r="C4" s="5" t="n">
        <v>420</v>
      </c>
      <c r="D4" s="14" t="n">
        <f aca="false">IFERROR(B4/C4,"-")</f>
        <v>28.5714285714286</v>
      </c>
      <c r="E4" s="8" t="n">
        <v>0.38</v>
      </c>
      <c r="F4" s="9" t="n">
        <v>980000</v>
      </c>
      <c r="G4" s="14" t="n">
        <f aca="false">IFERROR(B4/(C4*E4),"-")</f>
        <v>75.187969924812</v>
      </c>
      <c r="H4" s="7" t="n">
        <f aca="false">IFERROR((F4-B4)/B4,"-")</f>
        <v>80.6666666666667</v>
      </c>
    </row>
    <row r="5" customFormat="false" ht="15" hidden="false" customHeight="false" outlineLevel="0" collapsed="false">
      <c r="A5" s="13" t="s">
        <v>68</v>
      </c>
      <c r="B5" s="9" t="n">
        <v>95000</v>
      </c>
      <c r="C5" s="5" t="n">
        <v>280</v>
      </c>
      <c r="D5" s="14" t="n">
        <f aca="false">IFERROR(B5/C5,"-")</f>
        <v>339.285714285714</v>
      </c>
      <c r="E5" s="8" t="n">
        <v>0.29</v>
      </c>
      <c r="F5" s="9" t="n">
        <v>620000</v>
      </c>
      <c r="G5" s="14" t="n">
        <f aca="false">IFERROR(B5/(C5*E5),"-")</f>
        <v>1169.95073891626</v>
      </c>
      <c r="H5" s="7" t="n">
        <f aca="false">IFERROR((F5-B5)/B5,"-")</f>
        <v>5.52631578947368</v>
      </c>
    </row>
    <row r="6" customFormat="false" ht="15" hidden="false" customHeight="false" outlineLevel="0" collapsed="false">
      <c r="A6" s="13" t="s">
        <v>69</v>
      </c>
      <c r="B6" s="9" t="n">
        <v>28000</v>
      </c>
      <c r="C6" s="5" t="n">
        <v>350</v>
      </c>
      <c r="D6" s="14" t="n">
        <f aca="false">IFERROR(B6/C6,"-")</f>
        <v>80</v>
      </c>
      <c r="E6" s="8" t="n">
        <v>0.34</v>
      </c>
      <c r="F6" s="9" t="n">
        <v>770000</v>
      </c>
      <c r="G6" s="14" t="n">
        <f aca="false">IFERROR(B6/(C6*E6),"-")</f>
        <v>235.294117647059</v>
      </c>
      <c r="H6" s="7" t="n">
        <f aca="false">IFERROR((F6-B6)/B6,"-")</f>
        <v>26.5</v>
      </c>
    </row>
    <row r="7" customFormat="false" ht="15" hidden="false" customHeight="false" outlineLevel="0" collapsed="false">
      <c r="A7" s="13" t="s">
        <v>70</v>
      </c>
      <c r="B7" s="9" t="n">
        <v>62000</v>
      </c>
      <c r="C7" s="5" t="n">
        <v>180</v>
      </c>
      <c r="D7" s="14" t="n">
        <f aca="false">IFERROR(B7/C7,"-")</f>
        <v>344.444444444444</v>
      </c>
      <c r="E7" s="8" t="n">
        <v>0.24</v>
      </c>
      <c r="F7" s="9" t="n">
        <v>320000</v>
      </c>
      <c r="G7" s="14" t="n">
        <f aca="false">IFERROR(B7/(C7*E7),"-")</f>
        <v>1435.18518518519</v>
      </c>
      <c r="H7" s="7" t="n">
        <f aca="false">IFERROR((F7-B7)/B7,"-")</f>
        <v>4.16129032258065</v>
      </c>
    </row>
    <row r="8" customFormat="false" ht="15" hidden="false" customHeight="false" outlineLevel="0" collapsed="false">
      <c r="A8" s="13" t="s">
        <v>71</v>
      </c>
      <c r="B8" s="9" t="n">
        <v>18000</v>
      </c>
      <c r="C8" s="5" t="n">
        <v>220</v>
      </c>
      <c r="D8" s="14" t="n">
        <f aca="false">IFERROR(B8/C8,"-")</f>
        <v>81.8181818181818</v>
      </c>
      <c r="E8" s="8" t="n">
        <v>0.41</v>
      </c>
      <c r="F8" s="9" t="n">
        <v>560000</v>
      </c>
      <c r="G8" s="14" t="n">
        <f aca="false">IFERROR(B8/(C8*E8),"-")</f>
        <v>199.556541019956</v>
      </c>
      <c r="H8" s="7" t="n">
        <f aca="false">IFERROR((F8-B8)/B8,"-")</f>
        <v>30.1111111111111</v>
      </c>
    </row>
    <row r="9" customFormat="false" ht="15" hidden="false" customHeight="false" outlineLevel="0" collapsed="false">
      <c r="A9" s="13" t="s">
        <v>72</v>
      </c>
      <c r="B9" s="9" t="n">
        <v>8000</v>
      </c>
      <c r="C9" s="5" t="n">
        <v>95</v>
      </c>
      <c r="D9" s="14" t="n">
        <f aca="false">IFERROR(B9/C9,"-")</f>
        <v>84.2105263157895</v>
      </c>
      <c r="E9" s="8" t="n">
        <v>0.48</v>
      </c>
      <c r="F9" s="9" t="n">
        <v>380000</v>
      </c>
      <c r="G9" s="14" t="n">
        <f aca="false">IFERROR(B9/(C9*E9),"-")</f>
        <v>175.438596491228</v>
      </c>
      <c r="H9" s="7" t="n">
        <f aca="false">IFERROR((F9-B9)/B9,"-")</f>
        <v>46.5</v>
      </c>
    </row>
    <row r="10" customFormat="false" ht="15" hidden="false" customHeight="false" outlineLevel="0" collapsed="false">
      <c r="A10" s="13" t="s">
        <v>73</v>
      </c>
      <c r="B10" s="9" t="n">
        <v>145000</v>
      </c>
      <c r="C10" s="5" t="n">
        <v>310</v>
      </c>
      <c r="D10" s="14" t="n">
        <f aca="false">IFERROR(B10/C10,"-")</f>
        <v>467.741935483871</v>
      </c>
      <c r="E10" s="8" t="n">
        <v>0.33</v>
      </c>
      <c r="F10" s="9" t="n">
        <v>890000</v>
      </c>
      <c r="G10" s="14" t="n">
        <f aca="false">IFERROR(B10/(C10*E10),"-")</f>
        <v>1417.39980449658</v>
      </c>
      <c r="H10" s="7" t="n">
        <f aca="false">IFERROR((F10-B10)/B10,"-")</f>
        <v>5.13793103448276</v>
      </c>
    </row>
    <row r="11" customFormat="false" ht="15" hidden="false" customHeight="false" outlineLevel="0" collapsed="false">
      <c r="A11" s="13" t="s">
        <v>74</v>
      </c>
      <c r="B11" s="9" t="n">
        <v>55000</v>
      </c>
      <c r="C11" s="5" t="n">
        <v>130</v>
      </c>
      <c r="D11" s="14" t="n">
        <f aca="false">IFERROR(B11/C11,"-")</f>
        <v>423.076923076923</v>
      </c>
      <c r="E11" s="8" t="n">
        <v>0.35</v>
      </c>
      <c r="F11" s="9" t="n">
        <v>410000</v>
      </c>
      <c r="G11" s="14" t="n">
        <f aca="false">IFERROR(B11/(C11*E11),"-")</f>
        <v>1208.79120879121</v>
      </c>
      <c r="H11" s="7" t="n">
        <f aca="false">IFERROR((F11-B11)/B11,"-")</f>
        <v>6.45454545454545</v>
      </c>
    </row>
    <row r="12" customFormat="false" ht="15" hidden="false" customHeight="false" outlineLevel="0" collapsed="false">
      <c r="A12" s="13" t="s">
        <v>75</v>
      </c>
      <c r="C12" s="14" t="n">
        <f aca="false">SUM(B4:B11)</f>
        <v>423000</v>
      </c>
      <c r="D12" s="15" t="n">
        <f aca="false">SUM(C4:C11)</f>
        <v>1985</v>
      </c>
      <c r="E12" s="14" t="n">
        <f aca="false">IFERROR(B12/C12,"-")</f>
        <v>0</v>
      </c>
      <c r="G12" s="14" t="n">
        <f aca="false">SUM(F4:F11)</f>
        <v>4930000</v>
      </c>
      <c r="H12" s="14" t="n">
        <f aca="false">IFERROR(B12/(C12*SUMPRODUCT(C4:C11,E4:E11)/C12),"-")</f>
        <v>0</v>
      </c>
      <c r="I12" s="7" t="str">
        <f aca="false">IFERROR((F12-B12)/B12,"-")</f>
        <v>-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  <col collapsed="false" customWidth="true" hidden="false" outlineLevel="0" max="5" min="5" style="0" width="5"/>
  </cols>
  <sheetData>
    <row r="1" customFormat="false" ht="27.75" hidden="false" customHeight="true" outlineLevel="0" collapsed="false">
      <c r="A1" s="1" t="s">
        <v>76</v>
      </c>
      <c r="B1" s="1"/>
      <c r="C1" s="1"/>
      <c r="D1" s="1"/>
    </row>
    <row r="2" customFormat="false" ht="15" hidden="false" customHeight="true" outlineLevel="0" collapsed="false">
      <c r="A2" s="16" t="s">
        <v>77</v>
      </c>
      <c r="B2" s="16"/>
      <c r="C2" s="16"/>
      <c r="D2" s="16"/>
    </row>
    <row r="4" customFormat="false" ht="15" hidden="false" customHeight="false" outlineLevel="0" collapsed="false">
      <c r="A4" s="3" t="s">
        <v>78</v>
      </c>
      <c r="B4" s="3"/>
      <c r="C4" s="3"/>
      <c r="D4" s="3"/>
    </row>
    <row r="5" customFormat="false" ht="15" hidden="false" customHeight="false" outlineLevel="0" collapsed="false">
      <c r="A5" s="2" t="s">
        <v>26</v>
      </c>
      <c r="B5" s="2" t="s">
        <v>79</v>
      </c>
      <c r="C5" s="2" t="s">
        <v>5</v>
      </c>
      <c r="D5" s="2" t="s">
        <v>80</v>
      </c>
    </row>
    <row r="6" customFormat="false" ht="15" hidden="false" customHeight="false" outlineLevel="0" collapsed="false">
      <c r="A6" s="13" t="s">
        <v>81</v>
      </c>
      <c r="B6" s="5" t="n">
        <v>900</v>
      </c>
      <c r="C6" s="5" t="n">
        <v>900</v>
      </c>
      <c r="D6" s="7" t="n">
        <f aca="false">IFERROR((C6-B6)/B6,"-")</f>
        <v>0</v>
      </c>
    </row>
    <row r="7" customFormat="false" ht="15" hidden="false" customHeight="false" outlineLevel="0" collapsed="false">
      <c r="A7" s="13" t="s">
        <v>82</v>
      </c>
      <c r="B7" s="8" t="n">
        <v>0.42</v>
      </c>
      <c r="C7" s="8" t="n">
        <v>0.41</v>
      </c>
      <c r="D7" s="7" t="n">
        <f aca="false">IFERROR((C7-B7)/B7,"-")</f>
        <v>-0.0238095238095238</v>
      </c>
    </row>
    <row r="8" customFormat="false" ht="15" hidden="false" customHeight="false" outlineLevel="0" collapsed="false">
      <c r="A8" s="13" t="s">
        <v>45</v>
      </c>
      <c r="B8" s="9" t="n">
        <v>1200000</v>
      </c>
      <c r="C8" s="9" t="n">
        <v>1250000</v>
      </c>
      <c r="D8" s="7" t="n">
        <f aca="false">IFERROR((C8-B8)/B8,"-")</f>
        <v>0.0416666666666667</v>
      </c>
    </row>
    <row r="9" customFormat="false" ht="15" hidden="false" customHeight="false" outlineLevel="0" collapsed="false">
      <c r="A9" s="13" t="s">
        <v>83</v>
      </c>
      <c r="B9" s="9" t="n">
        <v>840000</v>
      </c>
      <c r="C9" s="9" t="n">
        <v>880000</v>
      </c>
      <c r="D9" s="7" t="n">
        <f aca="false">IFERROR((C9-B9)/B9,"-")</f>
        <v>0.0476190476190476</v>
      </c>
    </row>
    <row r="10" customFormat="false" ht="15" hidden="false" customHeight="false" outlineLevel="0" collapsed="false">
      <c r="A10" s="13" t="s">
        <v>84</v>
      </c>
      <c r="B10" s="8" t="n">
        <v>0.33</v>
      </c>
      <c r="C10" s="8" t="n">
        <v>0.34</v>
      </c>
      <c r="D10" s="6" t="s">
        <v>10</v>
      </c>
    </row>
    <row r="11" customFormat="false" ht="15" hidden="false" customHeight="false" outlineLevel="0" collapsed="false">
      <c r="A11" s="13" t="s">
        <v>85</v>
      </c>
      <c r="B11" s="9" t="n">
        <v>2200</v>
      </c>
      <c r="C11" s="9" t="n">
        <v>2380</v>
      </c>
      <c r="D11" s="7" t="n">
        <f aca="false">IFERROR((C11-B11)/B11,"-")</f>
        <v>0.0818181818181818</v>
      </c>
    </row>
    <row r="12" customFormat="false" ht="15" hidden="false" customHeight="false" outlineLevel="0" collapsed="false">
      <c r="A12" s="13" t="s">
        <v>86</v>
      </c>
      <c r="B12" s="10" t="n">
        <v>5.5</v>
      </c>
      <c r="C12" s="10" t="n">
        <v>5.3</v>
      </c>
      <c r="D12" s="6" t="s">
        <v>10</v>
      </c>
    </row>
    <row r="13" customFormat="false" ht="15" hidden="false" customHeight="false" outlineLevel="0" collapsed="false">
      <c r="A13" s="13" t="s">
        <v>58</v>
      </c>
      <c r="B13" s="5" t="n">
        <v>120</v>
      </c>
      <c r="C13" s="5" t="n">
        <v>125</v>
      </c>
      <c r="D13" s="7" t="n">
        <f aca="false">IFERROR((C13-B13)/B13,"-")</f>
        <v>0.0416666666666667</v>
      </c>
    </row>
    <row r="16" customFormat="false" ht="15" hidden="false" customHeight="false" outlineLevel="0" collapsed="false">
      <c r="A16" s="3" t="s">
        <v>87</v>
      </c>
      <c r="B16" s="3"/>
      <c r="C16" s="3"/>
      <c r="D16" s="3"/>
    </row>
    <row r="17" customFormat="false" ht="24" hidden="false" customHeight="true" outlineLevel="0" collapsed="false">
      <c r="A17" s="17" t="s">
        <v>88</v>
      </c>
      <c r="B17" s="17"/>
      <c r="C17" s="17"/>
      <c r="D17" s="17"/>
    </row>
    <row r="18" customFormat="false" ht="24" hidden="false" customHeight="true" outlineLevel="0" collapsed="false">
      <c r="A18" s="17" t="s">
        <v>89</v>
      </c>
      <c r="B18" s="17"/>
      <c r="C18" s="17"/>
      <c r="D18" s="17"/>
    </row>
    <row r="19" customFormat="false" ht="24" hidden="false" customHeight="true" outlineLevel="0" collapsed="false">
      <c r="A19" s="17" t="s">
        <v>90</v>
      </c>
      <c r="B19" s="17"/>
      <c r="C19" s="17"/>
      <c r="D19" s="17"/>
    </row>
    <row r="20" customFormat="false" ht="24" hidden="false" customHeight="true" outlineLevel="0" collapsed="false">
      <c r="A20" s="17" t="s">
        <v>91</v>
      </c>
      <c r="B20" s="17"/>
      <c r="C20" s="17"/>
      <c r="D20" s="17"/>
    </row>
    <row r="22" customFormat="false" ht="15" hidden="false" customHeight="false" outlineLevel="0" collapsed="false">
      <c r="A22" s="3" t="s">
        <v>92</v>
      </c>
      <c r="B22" s="3"/>
      <c r="C22" s="3"/>
      <c r="D22" s="3"/>
    </row>
    <row r="23" customFormat="false" ht="24" hidden="false" customHeight="true" outlineLevel="0" collapsed="false">
      <c r="A23" s="17" t="s">
        <v>93</v>
      </c>
      <c r="B23" s="17"/>
      <c r="C23" s="17"/>
      <c r="D23" s="17"/>
    </row>
    <row r="24" customFormat="false" ht="24" hidden="false" customHeight="true" outlineLevel="0" collapsed="false">
      <c r="A24" s="17" t="s">
        <v>94</v>
      </c>
      <c r="B24" s="17"/>
      <c r="C24" s="17"/>
      <c r="D24" s="17"/>
    </row>
    <row r="25" customFormat="false" ht="24" hidden="false" customHeight="true" outlineLevel="0" collapsed="false">
      <c r="A25" s="17" t="s">
        <v>95</v>
      </c>
      <c r="B25" s="17"/>
      <c r="C25" s="17"/>
      <c r="D25" s="17"/>
    </row>
    <row r="26" customFormat="false" ht="24" hidden="false" customHeight="true" outlineLevel="0" collapsed="false">
      <c r="A26" s="17" t="s">
        <v>96</v>
      </c>
      <c r="B26" s="17"/>
      <c r="C26" s="17"/>
      <c r="D26" s="17"/>
    </row>
  </sheetData>
  <mergeCells count="13">
    <mergeCell ref="A1:D1"/>
    <mergeCell ref="A2:D2"/>
    <mergeCell ref="A4:D4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2026-06-07T23:53:24Z</dcterms:created>
  <dc:creator>openpyxl</dc:creator>
  <dc:description/>
  <dc:language>en-US</dc:language>
  <cp:lastModifiedBy/>
  <dcterms:modified xsi:type="dcterms:W3CDTF">2026-06-07T23:53:24Z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